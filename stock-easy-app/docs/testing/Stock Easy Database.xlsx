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its" sheetId="1" r:id="rId4"/>
    <sheet state="visible" name="Commandes" sheetId="2" r:id="rId5"/>
    <sheet state="visible" name="ArticlesCommande" sheetId="3" r:id="rId6"/>
    <sheet state="visible" name="Fournisseurs" sheetId="4" r:id="rId7"/>
    <sheet state="visible" name="Parametres" sheetId="5" r:id="rId8"/>
    <sheet state="visible" name="SKU-Fournisseurs" sheetId="6" r:id="rId9"/>
    <sheet state="visible" name="Warehouses" sheetId="7" r:id="rId10"/>
  </sheets>
  <definedNames/>
  <calcPr/>
</workbook>
</file>

<file path=xl/sharedStrings.xml><?xml version="1.0" encoding="utf-8"?>
<sst xmlns="http://schemas.openxmlformats.org/spreadsheetml/2006/main" count="197" uniqueCount="121">
  <si>
    <t>SKU</t>
  </si>
  <si>
    <t>Nom Produit</t>
  </si>
  <si>
    <t>Stock Actuel</t>
  </si>
  <si>
    <t>Ventes Totales (30j)</t>
  </si>
  <si>
    <t>Ventes/Jour (moy 30j)</t>
  </si>
  <si>
    <t>Multiplicateur Prévision</t>
  </si>
  <si>
    <t>Ventes/Jour Ajustées</t>
  </si>
  <si>
    <t>Fournisseur</t>
  </si>
  <si>
    <t>leadTimeDays</t>
  </si>
  <si>
    <t>MOQ</t>
  </si>
  <si>
    <t>Prix Achat</t>
  </si>
  <si>
    <t>Prix Vente</t>
  </si>
  <si>
    <t>Marge Unitiaire</t>
  </si>
  <si>
    <t>Stock Sécu Custom (jours)</t>
  </si>
  <si>
    <t>Point Commande</t>
  </si>
  <si>
    <t>Qté á Commander</t>
  </si>
  <si>
    <t>Statut</t>
  </si>
  <si>
    <t>Investissement</t>
  </si>
  <si>
    <t>Inventoryvalue</t>
  </si>
  <si>
    <t>SKU-001</t>
  </si>
  <si>
    <t>Nova Max</t>
  </si>
  <si>
    <t>Alibaba Express</t>
  </si>
  <si>
    <t>SKU-002</t>
  </si>
  <si>
    <t>Chromecast</t>
  </si>
  <si>
    <t>SKU-003</t>
  </si>
  <si>
    <t>Fire Stick 4K</t>
  </si>
  <si>
    <t>SKU-004</t>
  </si>
  <si>
    <t>Fire Stick Lite</t>
  </si>
  <si>
    <t>SKU-005</t>
  </si>
  <si>
    <t>TV Samsung</t>
  </si>
  <si>
    <t>SKU-006</t>
  </si>
  <si>
    <t>Apple TV Box</t>
  </si>
  <si>
    <t>SKU-007</t>
  </si>
  <si>
    <t xml:space="preserve">Xiaomi TV </t>
  </si>
  <si>
    <t>SKU-008</t>
  </si>
  <si>
    <t>Xiamo Box</t>
  </si>
  <si>
    <t>SKU-009</t>
  </si>
  <si>
    <t>Airpods Pro</t>
  </si>
  <si>
    <t>SKU-010</t>
  </si>
  <si>
    <t>Iphone 17 Pro Max</t>
  </si>
  <si>
    <t>id</t>
  </si>
  <si>
    <t>supplier</t>
  </si>
  <si>
    <t>warehouseId</t>
  </si>
  <si>
    <t>status</t>
  </si>
  <si>
    <t>total</t>
  </si>
  <si>
    <t>createdAt</t>
  </si>
  <si>
    <t>eta</t>
  </si>
  <si>
    <t>confirmedAt</t>
  </si>
  <si>
    <t>shippedAt</t>
  </si>
  <si>
    <t>receivedAt</t>
  </si>
  <si>
    <t>completedAt</t>
  </si>
  <si>
    <t>trackingNumber</t>
  </si>
  <si>
    <t>trackingUrl</t>
  </si>
  <si>
    <t>hasDiscrepancy</t>
  </si>
  <si>
    <t>damageReport</t>
  </si>
  <si>
    <t>notes</t>
  </si>
  <si>
    <t>PO-311025-1432</t>
  </si>
  <si>
    <t>Fournisseur France</t>
  </si>
  <si>
    <t>Casa Joli</t>
  </si>
  <si>
    <t>pending_confirmation</t>
  </si>
  <si>
    <t>PO-311025-1444</t>
  </si>
  <si>
    <t>PO-111125-1920</t>
  </si>
  <si>
    <t>completed</t>
  </si>
  <si>
    <t>2025-11-11T18:52:50.119Z</t>
  </si>
  <si>
    <t>1ZABC123456789</t>
  </si>
  <si>
    <t>https://tracking.fake/PO-111125-1920</t>
  </si>
  <si>
    <t>PO-111125-1950</t>
  </si>
  <si>
    <t>PO-111125-2013</t>
  </si>
  <si>
    <t>PO-111125-2027</t>
  </si>
  <si>
    <t>orderId</t>
  </si>
  <si>
    <t>sku</t>
  </si>
  <si>
    <t>quantity</t>
  </si>
  <si>
    <t>pricePerUnit</t>
  </si>
  <si>
    <t>receivedQuantity</t>
  </si>
  <si>
    <t>discrepancyType</t>
  </si>
  <si>
    <t>discrepancyQuantity</t>
  </si>
  <si>
    <t>damagedQuantity</t>
  </si>
  <si>
    <t>discrepancyNotes</t>
  </si>
  <si>
    <t>PO-311025-1408</t>
  </si>
  <si>
    <t>Nom Fournisseur</t>
  </si>
  <si>
    <t>Email</t>
  </si>
  <si>
    <t>MOQ Standard</t>
  </si>
  <si>
    <t>Notes</t>
  </si>
  <si>
    <t>jory.cherief@gmail.com</t>
  </si>
  <si>
    <t>Paiement 30% avance, qualité OK</t>
  </si>
  <si>
    <r>
      <rPr>
        <color rgb="FF1155CC"/>
        <u/>
      </rPr>
      <t>contact@fournisseur.fr</t>
    </r>
  </si>
  <si>
    <t>Livraison rapide, prix élevés</t>
  </si>
  <si>
    <t>Fournisseur Italie</t>
  </si>
  <si>
    <t>info@fornitore.it</t>
  </si>
  <si>
    <t>Qualité premium, délais moyens</t>
  </si>
  <si>
    <t>Fournisseur Allemagne</t>
  </si>
  <si>
    <t>hello@lieferant.de</t>
  </si>
  <si>
    <t>Très fiable, certifié</t>
  </si>
  <si>
    <t>paramName</t>
  </si>
  <si>
    <t>value</t>
  </si>
  <si>
    <t>Description</t>
  </si>
  <si>
    <t>SeuilSurstockProfond</t>
  </si>
  <si>
    <t>Nombre de jours d'autonomie définissant un surstock profond (90-120j)</t>
  </si>
  <si>
    <t>DeviseDefaut</t>
  </si>
  <si>
    <t>USD</t>
  </si>
  <si>
    <t>Devise utilisée pour les prix (EUR, USD, GBP, etc.)</t>
  </si>
  <si>
    <t>MultiplicateurDefaut</t>
  </si>
  <si>
    <t>Multiplicateur de sécurité par défaut pour les nouveaux produits</t>
  </si>
  <si>
    <t>name</t>
  </si>
  <si>
    <t>address</t>
  </si>
  <si>
    <t>city</t>
  </si>
  <si>
    <t>postalCode</t>
  </si>
  <si>
    <t>country</t>
  </si>
  <si>
    <t>Passatge de Font, 6</t>
  </si>
  <si>
    <t>Barcelona</t>
  </si>
  <si>
    <t>Espagne</t>
  </si>
  <si>
    <t>Bluespace Albi</t>
  </si>
  <si>
    <t>4 Avenue De La Verrerie</t>
  </si>
  <si>
    <t>Albi</t>
  </si>
  <si>
    <t>France</t>
  </si>
  <si>
    <t>Bluespace Toulouse</t>
  </si>
  <si>
    <t>Rue Alsace Lorraine</t>
  </si>
  <si>
    <t>Toulouse</t>
  </si>
  <si>
    <t>Test 4</t>
  </si>
  <si>
    <t>Rue Blanche</t>
  </si>
  <si>
    <t>Paris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</si>
</sst>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yyyy-mm-dd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b/>
      <sz val="10.0"/>
      <color rgb="FF000000"/>
      <name val="Arial"/>
    </font>
    <font>
      <b/>
      <sz val="10.0"/>
      <color rgb="FF000000"/>
      <name val="Menlo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racking.fake/PO-111125-192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contact@fournisseur.fr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4" max="5" width="18.25"/>
    <col customWidth="1" min="6" max="6" width="20.38"/>
    <col customWidth="1" min="7" max="8" width="17.5"/>
    <col customWidth="1" min="9" max="9" width="15.0"/>
    <col customWidth="1" min="10" max="10" width="20.38"/>
    <col customWidth="1" min="11" max="11" width="10.0"/>
    <col customWidth="1" min="12" max="12" width="10.5"/>
    <col customWidth="1" min="13" max="13" width="14.13"/>
    <col customWidth="1" min="14" max="14" width="16.25"/>
    <col customWidth="1" min="15" max="15" width="15.63"/>
    <col customWidth="1" min="16" max="16" width="17.25"/>
    <col customWidth="1" min="17" max="17" width="16.38"/>
    <col customWidth="1" min="18" max="18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3">
        <v>162.0</v>
      </c>
      <c r="D2" s="2">
        <v>30.0</v>
      </c>
      <c r="E2" s="4">
        <f t="shared" ref="E2:E11" si="1">D2/30</f>
        <v>1</v>
      </c>
      <c r="F2" s="2">
        <v>3.0</v>
      </c>
      <c r="G2" s="4">
        <f t="shared" ref="G2:G11" si="2">E2*F2</f>
        <v>3</v>
      </c>
      <c r="H2" s="2" t="s">
        <v>21</v>
      </c>
      <c r="I2" s="4">
        <f>IF(H2="","",IF(ISNA(VLOOKUP(H2,Fournisseurs!A:D,3,FALSE)),"",VLOOKUP(H2,Fournisseurs!A:D,3,FALSE)))</f>
        <v>45</v>
      </c>
      <c r="J2" s="4">
        <f>IF(H2="","",IF(ISNA(VLOOKUP(H2,Fournisseurs!A:D,4,FALSE)),"",VLOOKUP(H2,Fournisseurs!A:D,4,FALSE)))</f>
        <v>10</v>
      </c>
      <c r="K2" s="5">
        <v>8.5</v>
      </c>
      <c r="L2" s="5">
        <v>24.9</v>
      </c>
      <c r="M2" s="6">
        <f t="shared" ref="M2:M11" si="3">L2-K2</f>
        <v>16.4</v>
      </c>
      <c r="N2" s="2">
        <f>I2*0.2</f>
        <v>9</v>
      </c>
      <c r="O2" s="4">
        <f t="shared" ref="O2:O11" si="4">G2*(I2+N2)</f>
        <v>162</v>
      </c>
      <c r="P2" s="4">
        <f t="shared" ref="P2:P11" si="5">IF(C2&lt;=O2, MAX(J2, O2-C2), 0)</f>
        <v>10</v>
      </c>
      <c r="Q2" s="4" t="str">
        <f t="shared" ref="Q2:Q11" si="6">IF(C2&lt;=O2, "⚠️ COMMANDER", IF(C2&lt;=O2*1.2, "⚡ Surveiller", "✅ OK"))</f>
        <v>⚠️ COMMANDER</v>
      </c>
      <c r="R2" s="6">
        <f t="shared" ref="R2:R11" si="7">P2*K2</f>
        <v>85</v>
      </c>
      <c r="S2" s="6">
        <f t="shared" ref="S2:S11" si="8">C2*K2</f>
        <v>1377</v>
      </c>
    </row>
    <row r="3">
      <c r="A3" s="2" t="s">
        <v>22</v>
      </c>
      <c r="B3" s="2" t="s">
        <v>23</v>
      </c>
      <c r="C3" s="3">
        <v>144.0</v>
      </c>
      <c r="D3" s="2">
        <v>40.0</v>
      </c>
      <c r="E3" s="4">
        <f t="shared" si="1"/>
        <v>1.333333333</v>
      </c>
      <c r="F3" s="2">
        <v>2.0</v>
      </c>
      <c r="G3" s="4">
        <f t="shared" si="2"/>
        <v>2.666666667</v>
      </c>
      <c r="H3" s="4" t="str">
        <f>IF(ISNA(VLOOKUP(A3,'SKU-Fournisseurs'!A:B,2,FALSE)),"",VLOOKUP(A3,'SKU-Fournisseurs'!A:B,2,FALSE))</f>
        <v>Alibaba Express</v>
      </c>
      <c r="I3" s="4">
        <f>IF(H3="","",IF(ISNA(VLOOKUP(H3,Fournisseurs!A:D,3,FALSE)),"",VLOOKUP(H3,Fournisseurs!A:D,3,FALSE)))</f>
        <v>45</v>
      </c>
      <c r="J3" s="4">
        <f>IF(H3="","",IF(ISNA(VLOOKUP(H3,Fournisseurs!A:D,4,FALSE)),"",VLOOKUP(H3,Fournisseurs!A:D,4,FALSE)))</f>
        <v>10</v>
      </c>
      <c r="K3" s="5">
        <v>2.3</v>
      </c>
      <c r="L3" s="5">
        <v>9.9</v>
      </c>
      <c r="M3" s="6">
        <f t="shared" si="3"/>
        <v>7.6</v>
      </c>
      <c r="N3" s="2">
        <v>9.0</v>
      </c>
      <c r="O3" s="4">
        <f t="shared" si="4"/>
        <v>144</v>
      </c>
      <c r="P3" s="4">
        <f t="shared" si="5"/>
        <v>10</v>
      </c>
      <c r="Q3" s="4" t="str">
        <f t="shared" si="6"/>
        <v>⚠️ COMMANDER</v>
      </c>
      <c r="R3" s="6">
        <f t="shared" si="7"/>
        <v>23</v>
      </c>
      <c r="S3" s="6">
        <f t="shared" si="8"/>
        <v>331.2</v>
      </c>
    </row>
    <row r="4">
      <c r="A4" s="2" t="s">
        <v>24</v>
      </c>
      <c r="B4" s="2" t="s">
        <v>25</v>
      </c>
      <c r="C4" s="3">
        <v>10.0</v>
      </c>
      <c r="D4" s="2">
        <v>13.0</v>
      </c>
      <c r="E4" s="4">
        <f t="shared" si="1"/>
        <v>0.4333333333</v>
      </c>
      <c r="F4" s="2">
        <v>1.0</v>
      </c>
      <c r="G4" s="4">
        <f t="shared" si="2"/>
        <v>0.4333333333</v>
      </c>
      <c r="H4" s="4" t="str">
        <f>IF(ISNA(VLOOKUP(A4,'SKU-Fournisseurs'!A:B,2,FALSE)),"",VLOOKUP(A4,'SKU-Fournisseurs'!A:B,2,FALSE))</f>
        <v>Fournisseur France</v>
      </c>
      <c r="I4" s="4">
        <f>IF(H4="","",IF(ISNA(VLOOKUP(H4,Fournisseurs!A:D,3,FALSE)),"",VLOOKUP(H4,Fournisseurs!A:D,3,FALSE)))</f>
        <v>10</v>
      </c>
      <c r="J4" s="4">
        <f>IF(H4="","",IF(ISNA(VLOOKUP(H4,Fournisseurs!A:D,4,FALSE)),"",VLOOKUP(H4,Fournisseurs!A:D,4,FALSE)))</f>
        <v>50</v>
      </c>
      <c r="K4" s="5">
        <v>12.0</v>
      </c>
      <c r="L4" s="5">
        <v>34.9</v>
      </c>
      <c r="M4" s="6">
        <f t="shared" si="3"/>
        <v>22.9</v>
      </c>
      <c r="N4" s="2">
        <f t="shared" ref="N4:N11" si="9">I4*0.2</f>
        <v>2</v>
      </c>
      <c r="O4" s="4">
        <f t="shared" si="4"/>
        <v>5.2</v>
      </c>
      <c r="P4" s="4">
        <f t="shared" si="5"/>
        <v>0</v>
      </c>
      <c r="Q4" s="4" t="str">
        <f t="shared" si="6"/>
        <v>✅ OK</v>
      </c>
      <c r="R4" s="6">
        <f t="shared" si="7"/>
        <v>0</v>
      </c>
      <c r="S4" s="6">
        <f t="shared" si="8"/>
        <v>120</v>
      </c>
    </row>
    <row r="5">
      <c r="A5" s="2" t="s">
        <v>26</v>
      </c>
      <c r="B5" s="2" t="s">
        <v>27</v>
      </c>
      <c r="C5" s="3">
        <v>10.0</v>
      </c>
      <c r="D5" s="2">
        <v>23.0</v>
      </c>
      <c r="E5" s="4">
        <f t="shared" si="1"/>
        <v>0.7666666667</v>
      </c>
      <c r="F5" s="2">
        <v>1.5</v>
      </c>
      <c r="G5" s="4">
        <f t="shared" si="2"/>
        <v>1.15</v>
      </c>
      <c r="H5" s="4" t="str">
        <f>IF(ISNA(VLOOKUP(A5,'SKU-Fournisseurs'!A:B,2,FALSE)),"",VLOOKUP(A5,'SKU-Fournisseurs'!A:B,2,FALSE))</f>
        <v>Fournisseur France</v>
      </c>
      <c r="I5" s="4">
        <f>IF(H5="","",IF(ISNA(VLOOKUP(H5,Fournisseurs!A:D,3,FALSE)),"",VLOOKUP(H5,Fournisseurs!A:D,3,FALSE)))</f>
        <v>10</v>
      </c>
      <c r="J5" s="4">
        <f>IF(H5="","",IF(ISNA(VLOOKUP(H5,Fournisseurs!A:D,4,FALSE)),"",VLOOKUP(H5,Fournisseurs!A:D,4,FALSE)))</f>
        <v>50</v>
      </c>
      <c r="K5" s="5">
        <v>6.5</v>
      </c>
      <c r="L5" s="5">
        <v>19.9</v>
      </c>
      <c r="M5" s="6">
        <f t="shared" si="3"/>
        <v>13.4</v>
      </c>
      <c r="N5" s="2">
        <f t="shared" si="9"/>
        <v>2</v>
      </c>
      <c r="O5" s="4">
        <f t="shared" si="4"/>
        <v>13.8</v>
      </c>
      <c r="P5" s="4">
        <f t="shared" si="5"/>
        <v>50</v>
      </c>
      <c r="Q5" s="4" t="str">
        <f t="shared" si="6"/>
        <v>⚠️ COMMANDER</v>
      </c>
      <c r="R5" s="6">
        <f t="shared" si="7"/>
        <v>325</v>
      </c>
      <c r="S5" s="6">
        <f t="shared" si="8"/>
        <v>65</v>
      </c>
    </row>
    <row r="6">
      <c r="A6" s="2" t="s">
        <v>28</v>
      </c>
      <c r="B6" s="2" t="s">
        <v>29</v>
      </c>
      <c r="C6" s="3">
        <v>10.0</v>
      </c>
      <c r="D6" s="2">
        <v>30.0</v>
      </c>
      <c r="E6" s="4">
        <f t="shared" si="1"/>
        <v>1</v>
      </c>
      <c r="F6" s="2">
        <v>2.0</v>
      </c>
      <c r="G6" s="4">
        <f t="shared" si="2"/>
        <v>2</v>
      </c>
      <c r="H6" s="4" t="str">
        <f>IF(ISNA(VLOOKUP(A6,'SKU-Fournisseurs'!A:B,2,FALSE)),"",VLOOKUP(A6,'SKU-Fournisseurs'!A:B,2,FALSE))</f>
        <v>Fournisseur Italie</v>
      </c>
      <c r="I6" s="4">
        <f>IF(H6="","",IF(ISNA(VLOOKUP(H6,Fournisseurs!A:D,3,FALSE)),"",VLOOKUP(H6,Fournisseurs!A:D,3,FALSE)))</f>
        <v>20</v>
      </c>
      <c r="J6" s="4">
        <f>IF(H6="","",IF(ISNA(VLOOKUP(H6,Fournisseurs!A:D,4,FALSE)),"",VLOOKUP(H6,Fournisseurs!A:D,4,FALSE)))</f>
        <v>75</v>
      </c>
      <c r="K6" s="5">
        <v>15.0</v>
      </c>
      <c r="L6" s="5">
        <v>44.9</v>
      </c>
      <c r="M6" s="6">
        <f t="shared" si="3"/>
        <v>29.9</v>
      </c>
      <c r="N6" s="2">
        <f t="shared" si="9"/>
        <v>4</v>
      </c>
      <c r="O6" s="4">
        <f t="shared" si="4"/>
        <v>48</v>
      </c>
      <c r="P6" s="4">
        <f t="shared" si="5"/>
        <v>75</v>
      </c>
      <c r="Q6" s="4" t="str">
        <f t="shared" si="6"/>
        <v>⚠️ COMMANDER</v>
      </c>
      <c r="R6" s="6">
        <f t="shared" si="7"/>
        <v>1125</v>
      </c>
      <c r="S6" s="6">
        <f t="shared" si="8"/>
        <v>150</v>
      </c>
    </row>
    <row r="7">
      <c r="A7" s="2" t="s">
        <v>30</v>
      </c>
      <c r="B7" s="2" t="s">
        <v>31</v>
      </c>
      <c r="C7" s="3">
        <v>146.0</v>
      </c>
      <c r="D7" s="2">
        <v>27.0</v>
      </c>
      <c r="E7" s="4">
        <f t="shared" si="1"/>
        <v>0.9</v>
      </c>
      <c r="F7" s="2">
        <v>3.0</v>
      </c>
      <c r="G7" s="4">
        <f t="shared" si="2"/>
        <v>2.7</v>
      </c>
      <c r="H7" s="4" t="str">
        <f>IF(ISNA(VLOOKUP(A7,'SKU-Fournisseurs'!A:B,2,FALSE)),"",VLOOKUP(A7,'SKU-Fournisseurs'!A:B,2,FALSE))</f>
        <v>Alibaba Express</v>
      </c>
      <c r="I7" s="4">
        <f>IF(H7="","",IF(ISNA(VLOOKUP(H7,Fournisseurs!A:D,3,FALSE)),"",VLOOKUP(H7,Fournisseurs!A:D,3,FALSE)))</f>
        <v>45</v>
      </c>
      <c r="J7" s="4">
        <f>IF(H7="","",IF(ISNA(VLOOKUP(H7,Fournisseurs!A:D,4,FALSE)),"",VLOOKUP(H7,Fournisseurs!A:D,4,FALSE)))</f>
        <v>10</v>
      </c>
      <c r="K7" s="5">
        <v>5.2</v>
      </c>
      <c r="L7" s="5">
        <v>16.9</v>
      </c>
      <c r="M7" s="6">
        <f t="shared" si="3"/>
        <v>11.7</v>
      </c>
      <c r="N7" s="2">
        <f t="shared" si="9"/>
        <v>9</v>
      </c>
      <c r="O7" s="4">
        <f t="shared" si="4"/>
        <v>145.8</v>
      </c>
      <c r="P7" s="4">
        <f t="shared" si="5"/>
        <v>0</v>
      </c>
      <c r="Q7" s="4" t="str">
        <f t="shared" si="6"/>
        <v>⚡ Surveiller</v>
      </c>
      <c r="R7" s="6">
        <f t="shared" si="7"/>
        <v>0</v>
      </c>
      <c r="S7" s="6">
        <f t="shared" si="8"/>
        <v>759.2</v>
      </c>
    </row>
    <row r="8">
      <c r="A8" s="2" t="s">
        <v>32</v>
      </c>
      <c r="B8" s="2" t="s">
        <v>33</v>
      </c>
      <c r="C8" s="3">
        <v>10.0</v>
      </c>
      <c r="D8" s="2">
        <v>10.0</v>
      </c>
      <c r="E8" s="4">
        <f t="shared" si="1"/>
        <v>0.3333333333</v>
      </c>
      <c r="F8" s="2">
        <v>3.0</v>
      </c>
      <c r="G8" s="4">
        <f t="shared" si="2"/>
        <v>1</v>
      </c>
      <c r="H8" s="4" t="str">
        <f>IF(ISNA(VLOOKUP(A8,'SKU-Fournisseurs'!A:B,2,FALSE)),"",VLOOKUP(A8,'SKU-Fournisseurs'!A:B,2,FALSE))</f>
        <v>Fournisseur Allemagne</v>
      </c>
      <c r="I8" s="4">
        <f>IF(H8="","",IF(ISNA(VLOOKUP(H8,Fournisseurs!A:D,3,FALSE)),"",VLOOKUP(H8,Fournisseurs!A:D,3,FALSE)))</f>
        <v>15</v>
      </c>
      <c r="J8" s="4">
        <f>IF(H8="","",IF(ISNA(VLOOKUP(H8,Fournisseurs!A:D,4,FALSE)),"",VLOOKUP(H8,Fournisseurs!A:D,4,FALSE)))</f>
        <v>60</v>
      </c>
      <c r="K8" s="5">
        <v>28.0</v>
      </c>
      <c r="L8" s="5">
        <v>79.9</v>
      </c>
      <c r="M8" s="6">
        <f t="shared" si="3"/>
        <v>51.9</v>
      </c>
      <c r="N8" s="2">
        <f t="shared" si="9"/>
        <v>3</v>
      </c>
      <c r="O8" s="4">
        <f t="shared" si="4"/>
        <v>18</v>
      </c>
      <c r="P8" s="4">
        <f t="shared" si="5"/>
        <v>60</v>
      </c>
      <c r="Q8" s="4" t="str">
        <f t="shared" si="6"/>
        <v>⚠️ COMMANDER</v>
      </c>
      <c r="R8" s="6">
        <f t="shared" si="7"/>
        <v>1680</v>
      </c>
      <c r="S8" s="6">
        <f t="shared" si="8"/>
        <v>280</v>
      </c>
    </row>
    <row r="9">
      <c r="A9" s="2" t="s">
        <v>34</v>
      </c>
      <c r="B9" s="2" t="s">
        <v>35</v>
      </c>
      <c r="C9" s="3">
        <v>10.0</v>
      </c>
      <c r="D9" s="2">
        <v>5.0</v>
      </c>
      <c r="E9" s="4">
        <f t="shared" si="1"/>
        <v>0.1666666667</v>
      </c>
      <c r="F9" s="2">
        <v>1.0</v>
      </c>
      <c r="G9" s="4">
        <f t="shared" si="2"/>
        <v>0.1666666667</v>
      </c>
      <c r="H9" s="4" t="str">
        <f>IF(ISNA(VLOOKUP(A9,'SKU-Fournisseurs'!A:B,2,FALSE)),"",VLOOKUP(A9,'SKU-Fournisseurs'!A:B,2,FALSE))</f>
        <v>Fournisseur France</v>
      </c>
      <c r="I9" s="4">
        <f>IF(H9="","",IF(ISNA(VLOOKUP(H9,Fournisseurs!A:D,3,FALSE)),"",VLOOKUP(H9,Fournisseurs!A:D,3,FALSE)))</f>
        <v>10</v>
      </c>
      <c r="J9" s="4">
        <f>IF(H9="","",IF(ISNA(VLOOKUP(H9,Fournisseurs!A:D,4,FALSE)),"",VLOOKUP(H9,Fournisseurs!A:D,4,FALSE)))</f>
        <v>50</v>
      </c>
      <c r="K9" s="5">
        <v>8.5</v>
      </c>
      <c r="L9" s="5">
        <v>24.9</v>
      </c>
      <c r="M9" s="6">
        <f t="shared" si="3"/>
        <v>16.4</v>
      </c>
      <c r="N9" s="2">
        <f t="shared" si="9"/>
        <v>2</v>
      </c>
      <c r="O9" s="4">
        <f t="shared" si="4"/>
        <v>2</v>
      </c>
      <c r="P9" s="4">
        <f t="shared" si="5"/>
        <v>0</v>
      </c>
      <c r="Q9" s="4" t="str">
        <f t="shared" si="6"/>
        <v>✅ OK</v>
      </c>
      <c r="R9" s="6">
        <f t="shared" si="7"/>
        <v>0</v>
      </c>
      <c r="S9" s="6">
        <f t="shared" si="8"/>
        <v>85</v>
      </c>
    </row>
    <row r="10">
      <c r="A10" s="2" t="s">
        <v>36</v>
      </c>
      <c r="B10" s="2" t="s">
        <v>37</v>
      </c>
      <c r="C10" s="3">
        <v>10.0</v>
      </c>
      <c r="D10" s="2">
        <v>17.0</v>
      </c>
      <c r="E10" s="4">
        <f t="shared" si="1"/>
        <v>0.5666666667</v>
      </c>
      <c r="F10" s="2">
        <v>1.0</v>
      </c>
      <c r="G10" s="4">
        <f t="shared" si="2"/>
        <v>0.5666666667</v>
      </c>
      <c r="H10" s="4" t="str">
        <f>IF(ISNA(VLOOKUP(A10,'SKU-Fournisseurs'!A:B,2,FALSE)),"",VLOOKUP(A10,'SKU-Fournisseurs'!A:B,2,FALSE))</f>
        <v>Fournisseur Italie</v>
      </c>
      <c r="I10" s="4">
        <f>IF(H10="","",IF(ISNA(VLOOKUP(H10,Fournisseurs!A:D,3,FALSE)),"",VLOOKUP(H10,Fournisseurs!A:D,3,FALSE)))</f>
        <v>20</v>
      </c>
      <c r="J10" s="4">
        <f>IF(H10="","",IF(ISNA(VLOOKUP(H10,Fournisseurs!A:D,4,FALSE)),"",VLOOKUP(H10,Fournisseurs!A:D,4,FALSE)))</f>
        <v>75</v>
      </c>
      <c r="K10" s="5">
        <v>18.5</v>
      </c>
      <c r="L10" s="5">
        <v>54.9</v>
      </c>
      <c r="M10" s="6">
        <f t="shared" si="3"/>
        <v>36.4</v>
      </c>
      <c r="N10" s="2">
        <f t="shared" si="9"/>
        <v>4</v>
      </c>
      <c r="O10" s="4">
        <f t="shared" si="4"/>
        <v>13.6</v>
      </c>
      <c r="P10" s="4">
        <f t="shared" si="5"/>
        <v>75</v>
      </c>
      <c r="Q10" s="4" t="str">
        <f t="shared" si="6"/>
        <v>⚠️ COMMANDER</v>
      </c>
      <c r="R10" s="6">
        <f t="shared" si="7"/>
        <v>1387.5</v>
      </c>
      <c r="S10" s="6">
        <f t="shared" si="8"/>
        <v>185</v>
      </c>
    </row>
    <row r="11">
      <c r="A11" s="2" t="s">
        <v>38</v>
      </c>
      <c r="B11" s="2" t="s">
        <v>39</v>
      </c>
      <c r="C11" s="3">
        <v>65.0</v>
      </c>
      <c r="D11" s="2">
        <v>12.0</v>
      </c>
      <c r="E11" s="4">
        <f t="shared" si="1"/>
        <v>0.4</v>
      </c>
      <c r="F11" s="2">
        <v>3.0</v>
      </c>
      <c r="G11" s="4">
        <f t="shared" si="2"/>
        <v>1.2</v>
      </c>
      <c r="H11" s="4" t="str">
        <f>IF(ISNA(VLOOKUP(A11,'SKU-Fournisseurs'!A:B,2,FALSE)),"",VLOOKUP(A11,'SKU-Fournisseurs'!A:B,2,FALSE))</f>
        <v>Alibaba Express</v>
      </c>
      <c r="I11" s="4">
        <f>IF(H11="","",IF(ISNA(VLOOKUP(H11,Fournisseurs!A:D,3,FALSE)),"",VLOOKUP(H11,Fournisseurs!A:D,3,FALSE)))</f>
        <v>45</v>
      </c>
      <c r="J11" s="4">
        <f>IF(H11="","",IF(ISNA(VLOOKUP(H11,Fournisseurs!A:D,4,FALSE)),"",VLOOKUP(H11,Fournisseurs!A:D,4,FALSE)))</f>
        <v>10</v>
      </c>
      <c r="K11" s="5">
        <v>1.8</v>
      </c>
      <c r="L11" s="5">
        <v>7.9</v>
      </c>
      <c r="M11" s="6">
        <f t="shared" si="3"/>
        <v>6.1</v>
      </c>
      <c r="N11" s="2">
        <f t="shared" si="9"/>
        <v>9</v>
      </c>
      <c r="O11" s="4">
        <f t="shared" si="4"/>
        <v>64.8</v>
      </c>
      <c r="P11" s="4">
        <f t="shared" si="5"/>
        <v>0</v>
      </c>
      <c r="Q11" s="4" t="str">
        <f t="shared" si="6"/>
        <v>⚡ Surveiller</v>
      </c>
      <c r="R11" s="6">
        <f t="shared" si="7"/>
        <v>0</v>
      </c>
      <c r="S11" s="6">
        <f t="shared" si="8"/>
        <v>117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</row>
    <row r="2">
      <c r="A2" s="2" t="s">
        <v>56</v>
      </c>
      <c r="B2" s="2" t="s">
        <v>57</v>
      </c>
      <c r="C2" s="2" t="s">
        <v>58</v>
      </c>
      <c r="D2" s="2" t="s">
        <v>59</v>
      </c>
      <c r="E2" s="7">
        <v>325.0</v>
      </c>
      <c r="F2" s="8">
        <v>45961.0</v>
      </c>
      <c r="I2" s="8"/>
      <c r="J2" s="8"/>
      <c r="K2" s="8"/>
      <c r="N2" s="2" t="b">
        <v>0</v>
      </c>
    </row>
    <row r="3">
      <c r="A3" s="2" t="s">
        <v>60</v>
      </c>
      <c r="B3" s="2" t="s">
        <v>57</v>
      </c>
      <c r="C3" s="2" t="s">
        <v>58</v>
      </c>
      <c r="D3" s="2" t="s">
        <v>59</v>
      </c>
      <c r="E3" s="7">
        <v>325.0</v>
      </c>
      <c r="F3" s="8">
        <v>45961.0</v>
      </c>
      <c r="I3" s="8"/>
      <c r="J3" s="8"/>
      <c r="K3" s="8"/>
      <c r="N3" s="2" t="b">
        <v>0</v>
      </c>
    </row>
    <row r="4">
      <c r="A4" s="2" t="s">
        <v>61</v>
      </c>
      <c r="B4" s="2" t="s">
        <v>21</v>
      </c>
      <c r="C4" s="2" t="s">
        <v>58</v>
      </c>
      <c r="D4" s="2" t="s">
        <v>62</v>
      </c>
      <c r="E4" s="7">
        <v>2406.4</v>
      </c>
      <c r="F4" s="8">
        <v>45972.0</v>
      </c>
      <c r="G4" s="8">
        <v>46017.0</v>
      </c>
      <c r="H4" s="2" t="s">
        <v>63</v>
      </c>
      <c r="I4" s="8">
        <v>45972.0</v>
      </c>
      <c r="J4" s="8">
        <v>45972.0</v>
      </c>
      <c r="K4" s="8">
        <v>45972.0</v>
      </c>
      <c r="L4" s="2" t="s">
        <v>64</v>
      </c>
      <c r="M4" s="9" t="s">
        <v>65</v>
      </c>
      <c r="N4" s="2" t="b">
        <v>0</v>
      </c>
      <c r="O4" s="2" t="b">
        <v>0</v>
      </c>
    </row>
    <row r="5">
      <c r="A5" s="2" t="s">
        <v>66</v>
      </c>
      <c r="B5" s="2" t="s">
        <v>21</v>
      </c>
      <c r="C5" s="2" t="s">
        <v>58</v>
      </c>
      <c r="D5" s="2" t="s">
        <v>59</v>
      </c>
      <c r="E5" s="7">
        <v>2406.4</v>
      </c>
      <c r="F5" s="8">
        <v>45972.0</v>
      </c>
      <c r="I5" s="8"/>
      <c r="J5" s="8"/>
      <c r="N5" s="2" t="b">
        <v>0</v>
      </c>
    </row>
    <row r="6">
      <c r="A6" s="2" t="s">
        <v>67</v>
      </c>
      <c r="B6" s="2" t="s">
        <v>21</v>
      </c>
      <c r="C6" s="2" t="s">
        <v>58</v>
      </c>
      <c r="D6" s="2" t="s">
        <v>59</v>
      </c>
      <c r="E6" s="7">
        <v>2406.4</v>
      </c>
      <c r="F6" s="8">
        <v>45972.0</v>
      </c>
      <c r="I6" s="8"/>
      <c r="J6" s="8"/>
      <c r="N6" s="2" t="b">
        <v>0</v>
      </c>
    </row>
    <row r="7">
      <c r="A7" s="2" t="s">
        <v>68</v>
      </c>
      <c r="B7" s="2" t="s">
        <v>21</v>
      </c>
      <c r="C7" s="2" t="s">
        <v>58</v>
      </c>
      <c r="D7" s="2" t="s">
        <v>59</v>
      </c>
      <c r="E7" s="7">
        <v>108.0</v>
      </c>
      <c r="F7" s="8">
        <v>45972.0</v>
      </c>
      <c r="I7" s="8"/>
      <c r="J7" s="8"/>
      <c r="N7" s="2" t="b">
        <v>0</v>
      </c>
    </row>
    <row r="8">
      <c r="F8" s="8"/>
      <c r="I8" s="8"/>
      <c r="J8" s="8"/>
    </row>
    <row r="9">
      <c r="F9" s="8"/>
      <c r="I9" s="8"/>
      <c r="J9" s="8"/>
    </row>
    <row r="10">
      <c r="F10" s="8"/>
      <c r="I10" s="8"/>
      <c r="J10" s="8"/>
    </row>
    <row r="11">
      <c r="F11" s="8"/>
      <c r="I11" s="8"/>
      <c r="J11" s="8"/>
    </row>
    <row r="12">
      <c r="F12" s="8"/>
      <c r="I12" s="8"/>
      <c r="J12" s="8"/>
    </row>
    <row r="13">
      <c r="F13" s="8"/>
      <c r="I13" s="8"/>
      <c r="J13" s="8"/>
    </row>
    <row r="14">
      <c r="F14" s="8"/>
      <c r="I14" s="8"/>
    </row>
    <row r="15">
      <c r="F15" s="8"/>
      <c r="I15" s="8"/>
    </row>
    <row r="20">
      <c r="F20" s="8"/>
      <c r="I20" s="8"/>
    </row>
    <row r="21">
      <c r="F21" s="8"/>
    </row>
    <row r="22">
      <c r="F22" s="8"/>
    </row>
    <row r="23">
      <c r="F23" s="8"/>
    </row>
    <row r="24">
      <c r="F24" s="8"/>
    </row>
    <row r="25">
      <c r="F25" s="8"/>
    </row>
    <row r="26">
      <c r="F26" s="8"/>
    </row>
    <row r="27">
      <c r="F27" s="8"/>
      <c r="I27" s="8"/>
    </row>
    <row r="28">
      <c r="F28" s="8"/>
    </row>
    <row r="29">
      <c r="F29" s="8"/>
    </row>
    <row r="30">
      <c r="F30" s="8"/>
      <c r="I30" s="8"/>
    </row>
    <row r="31">
      <c r="F31" s="8"/>
      <c r="I31" s="8"/>
    </row>
    <row r="32">
      <c r="F32" s="8"/>
      <c r="I32" s="8"/>
    </row>
  </sheetData>
  <hyperlinks>
    <hyperlink r:id="rId1" ref="M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0" t="s">
        <v>74</v>
      </c>
      <c r="G1" s="11" t="s">
        <v>75</v>
      </c>
      <c r="H1" s="12" t="s">
        <v>76</v>
      </c>
      <c r="I1" s="10" t="s">
        <v>77</v>
      </c>
    </row>
    <row r="2">
      <c r="A2" s="2" t="s">
        <v>78</v>
      </c>
      <c r="B2" s="2" t="s">
        <v>32</v>
      </c>
      <c r="C2" s="7">
        <v>60.0</v>
      </c>
      <c r="D2" s="7">
        <v>28.0</v>
      </c>
      <c r="E2" s="7">
        <v>0.0</v>
      </c>
    </row>
    <row r="3">
      <c r="A3" s="2" t="s">
        <v>56</v>
      </c>
      <c r="B3" s="2" t="s">
        <v>26</v>
      </c>
      <c r="C3" s="7">
        <v>50.0</v>
      </c>
      <c r="D3" s="7">
        <v>6.5</v>
      </c>
      <c r="E3" s="7">
        <v>0.0</v>
      </c>
      <c r="G3" s="7">
        <v>0.0</v>
      </c>
      <c r="H3" s="7">
        <v>0.0</v>
      </c>
    </row>
    <row r="4">
      <c r="A4" s="2" t="s">
        <v>60</v>
      </c>
      <c r="B4" s="2" t="s">
        <v>26</v>
      </c>
      <c r="C4" s="7">
        <v>50.0</v>
      </c>
      <c r="D4" s="7">
        <v>6.5</v>
      </c>
      <c r="E4" s="7">
        <v>0.0</v>
      </c>
      <c r="G4" s="7">
        <v>0.0</v>
      </c>
      <c r="H4" s="7">
        <v>0.0</v>
      </c>
    </row>
    <row r="5">
      <c r="A5" s="2" t="s">
        <v>61</v>
      </c>
      <c r="B5" s="2" t="s">
        <v>19</v>
      </c>
      <c r="C5" s="7">
        <v>152.0</v>
      </c>
      <c r="D5" s="7">
        <v>8.5</v>
      </c>
      <c r="E5" s="7">
        <v>0.0</v>
      </c>
      <c r="G5" s="7">
        <v>0.0</v>
      </c>
      <c r="H5" s="7">
        <v>0.0</v>
      </c>
    </row>
    <row r="6">
      <c r="A6" s="2" t="s">
        <v>61</v>
      </c>
      <c r="B6" s="2" t="s">
        <v>22</v>
      </c>
      <c r="C6" s="7">
        <v>134.0</v>
      </c>
      <c r="D6" s="7">
        <v>2.3</v>
      </c>
      <c r="E6" s="7">
        <v>0.0</v>
      </c>
      <c r="G6" s="7">
        <v>0.0</v>
      </c>
      <c r="H6" s="7">
        <v>0.0</v>
      </c>
    </row>
    <row r="7">
      <c r="A7" s="2" t="s">
        <v>61</v>
      </c>
      <c r="B7" s="2" t="s">
        <v>30</v>
      </c>
      <c r="C7" s="7">
        <v>136.0</v>
      </c>
      <c r="D7" s="7">
        <v>5.2</v>
      </c>
      <c r="E7" s="7">
        <v>0.0</v>
      </c>
      <c r="G7" s="7">
        <v>0.0</v>
      </c>
      <c r="H7" s="7">
        <v>0.0</v>
      </c>
    </row>
    <row r="8">
      <c r="A8" s="2" t="s">
        <v>61</v>
      </c>
      <c r="B8" s="2" t="s">
        <v>38</v>
      </c>
      <c r="C8" s="7">
        <v>55.0</v>
      </c>
      <c r="D8" s="7">
        <v>1.8</v>
      </c>
      <c r="E8" s="7">
        <v>0.0</v>
      </c>
      <c r="G8" s="7">
        <v>0.0</v>
      </c>
      <c r="H8" s="7">
        <v>0.0</v>
      </c>
    </row>
    <row r="9">
      <c r="A9" s="2" t="s">
        <v>66</v>
      </c>
      <c r="B9" s="2" t="s">
        <v>19</v>
      </c>
      <c r="C9" s="7">
        <v>152.0</v>
      </c>
      <c r="D9" s="7">
        <v>8.5</v>
      </c>
      <c r="E9" s="7">
        <v>0.0</v>
      </c>
      <c r="G9" s="7">
        <v>0.0</v>
      </c>
      <c r="H9" s="7">
        <v>0.0</v>
      </c>
    </row>
    <row r="10">
      <c r="A10" s="2" t="s">
        <v>66</v>
      </c>
      <c r="B10" s="2" t="s">
        <v>22</v>
      </c>
      <c r="C10" s="7">
        <v>134.0</v>
      </c>
      <c r="D10" s="7">
        <v>2.3</v>
      </c>
      <c r="E10" s="7">
        <v>0.0</v>
      </c>
      <c r="G10" s="7">
        <v>0.0</v>
      </c>
      <c r="H10" s="7">
        <v>0.0</v>
      </c>
    </row>
    <row r="11">
      <c r="A11" s="2" t="s">
        <v>66</v>
      </c>
      <c r="B11" s="2" t="s">
        <v>30</v>
      </c>
      <c r="C11" s="7">
        <v>136.0</v>
      </c>
      <c r="D11" s="7">
        <v>5.2</v>
      </c>
      <c r="E11" s="7">
        <v>0.0</v>
      </c>
      <c r="G11" s="7">
        <v>0.0</v>
      </c>
      <c r="H11" s="7">
        <v>0.0</v>
      </c>
    </row>
    <row r="12">
      <c r="A12" s="2" t="s">
        <v>66</v>
      </c>
      <c r="B12" s="2" t="s">
        <v>38</v>
      </c>
      <c r="C12" s="7">
        <v>55.0</v>
      </c>
      <c r="D12" s="7">
        <v>1.8</v>
      </c>
      <c r="E12" s="7">
        <v>0.0</v>
      </c>
      <c r="G12" s="7">
        <v>0.0</v>
      </c>
      <c r="H12" s="7">
        <v>0.0</v>
      </c>
    </row>
    <row r="13">
      <c r="A13" s="2" t="s">
        <v>67</v>
      </c>
      <c r="B13" s="2" t="s">
        <v>19</v>
      </c>
      <c r="C13" s="7">
        <v>152.0</v>
      </c>
      <c r="D13" s="7">
        <v>8.5</v>
      </c>
      <c r="E13" s="7">
        <v>0.0</v>
      </c>
      <c r="G13" s="7">
        <v>0.0</v>
      </c>
      <c r="H13" s="7">
        <v>0.0</v>
      </c>
    </row>
    <row r="14">
      <c r="A14" s="2" t="s">
        <v>67</v>
      </c>
      <c r="B14" s="2" t="s">
        <v>22</v>
      </c>
      <c r="C14" s="7">
        <v>134.0</v>
      </c>
      <c r="D14" s="7">
        <v>2.3</v>
      </c>
      <c r="E14" s="7">
        <v>0.0</v>
      </c>
      <c r="G14" s="7">
        <v>0.0</v>
      </c>
      <c r="H14" s="7">
        <v>0.0</v>
      </c>
    </row>
    <row r="15">
      <c r="A15" s="2" t="s">
        <v>67</v>
      </c>
      <c r="B15" s="2" t="s">
        <v>30</v>
      </c>
      <c r="C15" s="7">
        <v>136.0</v>
      </c>
      <c r="D15" s="7">
        <v>5.2</v>
      </c>
      <c r="E15" s="7">
        <v>0.0</v>
      </c>
      <c r="G15" s="7">
        <v>0.0</v>
      </c>
      <c r="H15" s="7">
        <v>0.0</v>
      </c>
    </row>
    <row r="16">
      <c r="A16" s="2" t="s">
        <v>67</v>
      </c>
      <c r="B16" s="2" t="s">
        <v>38</v>
      </c>
      <c r="C16" s="7">
        <v>55.0</v>
      </c>
      <c r="D16" s="7">
        <v>1.8</v>
      </c>
      <c r="E16" s="7">
        <v>0.0</v>
      </c>
      <c r="G16" s="7">
        <v>0.0</v>
      </c>
      <c r="H16" s="7">
        <v>0.0</v>
      </c>
    </row>
    <row r="17">
      <c r="A17" s="2" t="s">
        <v>68</v>
      </c>
      <c r="B17" s="2" t="s">
        <v>19</v>
      </c>
      <c r="C17" s="7">
        <v>10.0</v>
      </c>
      <c r="D17" s="7">
        <v>8.5</v>
      </c>
      <c r="E17" s="7">
        <v>0.0</v>
      </c>
      <c r="G17" s="7">
        <v>0.0</v>
      </c>
      <c r="H17" s="7">
        <v>0.0</v>
      </c>
    </row>
    <row r="18">
      <c r="A18" s="2" t="s">
        <v>68</v>
      </c>
      <c r="B18" s="2" t="s">
        <v>22</v>
      </c>
      <c r="C18" s="7">
        <v>10.0</v>
      </c>
      <c r="D18" s="7">
        <v>2.3</v>
      </c>
      <c r="E18" s="7">
        <v>0.0</v>
      </c>
      <c r="G18" s="7">
        <v>0.0</v>
      </c>
      <c r="H18" s="7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2.63"/>
    <col customWidth="1" min="3" max="3" width="12.13"/>
    <col customWidth="1" min="4" max="4" width="16.75"/>
    <col customWidth="1" min="5" max="5" width="50.5"/>
  </cols>
  <sheetData>
    <row r="1">
      <c r="A1" s="1" t="s">
        <v>79</v>
      </c>
      <c r="B1" s="1" t="s">
        <v>80</v>
      </c>
      <c r="C1" s="1" t="s">
        <v>8</v>
      </c>
      <c r="D1" s="1" t="s">
        <v>81</v>
      </c>
      <c r="E1" s="1" t="s">
        <v>82</v>
      </c>
    </row>
    <row r="2">
      <c r="A2" s="2" t="s">
        <v>21</v>
      </c>
      <c r="B2" s="13" t="s">
        <v>83</v>
      </c>
      <c r="C2" s="2">
        <v>45.0</v>
      </c>
      <c r="D2" s="2">
        <v>10.0</v>
      </c>
      <c r="E2" s="14" t="s">
        <v>84</v>
      </c>
    </row>
    <row r="3">
      <c r="A3" s="2" t="s">
        <v>57</v>
      </c>
      <c r="B3" s="9" t="s">
        <v>85</v>
      </c>
      <c r="C3" s="2">
        <v>10.0</v>
      </c>
      <c r="D3" s="2">
        <v>50.0</v>
      </c>
      <c r="E3" s="2" t="s">
        <v>86</v>
      </c>
    </row>
    <row r="4">
      <c r="A4" s="2" t="s">
        <v>87</v>
      </c>
      <c r="B4" s="2" t="s">
        <v>88</v>
      </c>
      <c r="C4" s="2">
        <v>20.0</v>
      </c>
      <c r="D4" s="2">
        <v>75.0</v>
      </c>
      <c r="E4" s="2" t="s">
        <v>89</v>
      </c>
    </row>
    <row r="5">
      <c r="A5" s="2" t="s">
        <v>90</v>
      </c>
      <c r="B5" s="2" t="s">
        <v>91</v>
      </c>
      <c r="C5" s="2">
        <v>15.0</v>
      </c>
      <c r="D5" s="2">
        <v>60.0</v>
      </c>
      <c r="E5" s="2" t="s">
        <v>92</v>
      </c>
    </row>
  </sheetData>
  <hyperlinks>
    <hyperlink r:id="rId1" ref="B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93</v>
      </c>
      <c r="B1" s="1" t="s">
        <v>94</v>
      </c>
      <c r="C1" s="1" t="s">
        <v>95</v>
      </c>
    </row>
    <row r="2">
      <c r="A2" s="2" t="s">
        <v>96</v>
      </c>
      <c r="B2" s="2">
        <v>60.0</v>
      </c>
      <c r="C2" s="2" t="s">
        <v>97</v>
      </c>
    </row>
    <row r="3">
      <c r="A3" s="2" t="s">
        <v>98</v>
      </c>
      <c r="B3" s="15" t="s">
        <v>99</v>
      </c>
      <c r="C3" s="2" t="s">
        <v>100</v>
      </c>
    </row>
    <row r="4">
      <c r="A4" s="2" t="s">
        <v>101</v>
      </c>
      <c r="B4" s="2">
        <v>1.2</v>
      </c>
      <c r="C4" s="2" t="s">
        <v>102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</cols>
  <sheetData>
    <row r="1">
      <c r="A1" s="16" t="s">
        <v>0</v>
      </c>
      <c r="B1" s="16" t="s">
        <v>7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 t="s">
        <v>19</v>
      </c>
      <c r="B2" s="17" t="s">
        <v>21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 t="s">
        <v>22</v>
      </c>
      <c r="B3" s="17" t="s">
        <v>21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 t="s">
        <v>24</v>
      </c>
      <c r="B4" s="17" t="s">
        <v>57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 t="s">
        <v>26</v>
      </c>
      <c r="B5" s="17" t="s">
        <v>57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 t="s">
        <v>28</v>
      </c>
      <c r="B6" s="17" t="s">
        <v>87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 t="s">
        <v>30</v>
      </c>
      <c r="B7" s="17" t="s">
        <v>21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 t="s">
        <v>32</v>
      </c>
      <c r="B8" s="17" t="s">
        <v>90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 t="s">
        <v>34</v>
      </c>
      <c r="B9" s="17" t="s">
        <v>57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 t="s">
        <v>36</v>
      </c>
      <c r="B10" s="17" t="s">
        <v>87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 t="s">
        <v>38</v>
      </c>
      <c r="B11" s="17" t="s">
        <v>21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ataValidations>
    <dataValidation type="list" allowBlank="1" showErrorMessage="1" sqref="B2:B11">
      <formula1>Fournisseurs!$A$2:$A$5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55</v>
      </c>
    </row>
    <row r="2">
      <c r="A2" s="2" t="s">
        <v>58</v>
      </c>
      <c r="B2" s="2" t="s">
        <v>108</v>
      </c>
      <c r="C2" s="2" t="s">
        <v>109</v>
      </c>
      <c r="D2" s="2">
        <v>8013.0</v>
      </c>
      <c r="E2" s="2" t="s">
        <v>110</v>
      </c>
    </row>
    <row r="3">
      <c r="A3" s="2" t="s">
        <v>111</v>
      </c>
      <c r="B3" s="2" t="s">
        <v>112</v>
      </c>
      <c r="C3" s="2" t="s">
        <v>113</v>
      </c>
      <c r="D3" s="2">
        <v>81000.0</v>
      </c>
      <c r="E3" s="2" t="s">
        <v>114</v>
      </c>
    </row>
    <row r="4">
      <c r="A4" s="2" t="s">
        <v>115</v>
      </c>
      <c r="B4" s="2" t="s">
        <v>116</v>
      </c>
      <c r="C4" s="2" t="s">
        <v>117</v>
      </c>
      <c r="D4" s="2">
        <v>31000.0</v>
      </c>
      <c r="E4" s="2" t="s">
        <v>114</v>
      </c>
    </row>
    <row r="5">
      <c r="A5" s="2" t="s">
        <v>118</v>
      </c>
      <c r="B5" s="2" t="s">
        <v>119</v>
      </c>
      <c r="C5" s="2" t="s">
        <v>120</v>
      </c>
      <c r="D5" s="2">
        <v>75009.0</v>
      </c>
      <c r="E5" s="2" t="s">
        <v>114</v>
      </c>
    </row>
  </sheetData>
  <drawing r:id="rId1"/>
</worksheet>
</file>